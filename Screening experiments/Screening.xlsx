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rsat\CODE\CcaSolitaiRe\Screening experiments\"/>
    </mc:Choice>
  </mc:AlternateContent>
  <xr:revisionPtr revIDLastSave="0" documentId="13_ncr:1_{C8783A00-BED9-45F6-B445-AD6A02393E3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KS-02-004,6" sheetId="1" r:id="rId1"/>
    <sheet name="pKS-02-014" sheetId="2" r:id="rId2"/>
    <sheet name="pKS-02-016,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D23" i="2"/>
  <c r="B23" i="2"/>
  <c r="D22" i="3"/>
  <c r="C22" i="3"/>
  <c r="D23" i="3"/>
  <c r="D20" i="3"/>
  <c r="C23" i="3"/>
  <c r="B23" i="3"/>
  <c r="B22" i="3"/>
  <c r="B19" i="3"/>
  <c r="D19" i="3"/>
  <c r="C20" i="3"/>
  <c r="B20" i="3"/>
  <c r="C19" i="3"/>
  <c r="O15" i="3"/>
  <c r="N15" i="3"/>
  <c r="N6" i="3"/>
  <c r="N11" i="3"/>
  <c r="O11" i="3"/>
  <c r="N12" i="3"/>
  <c r="N13" i="3" s="1"/>
  <c r="O12" i="3"/>
  <c r="N4" i="3"/>
  <c r="O4" i="3"/>
  <c r="N5" i="3"/>
  <c r="O5" i="3"/>
  <c r="O6" i="3" s="1"/>
  <c r="M12" i="3"/>
  <c r="M11" i="3"/>
  <c r="M5" i="3"/>
  <c r="M4" i="3"/>
  <c r="J11" i="3"/>
  <c r="J12" i="3"/>
  <c r="J13" i="3" s="1"/>
  <c r="J4" i="3"/>
  <c r="J5" i="3"/>
  <c r="J6" i="3" s="1"/>
  <c r="I12" i="3"/>
  <c r="I11" i="3"/>
  <c r="I5" i="3"/>
  <c r="I4" i="3"/>
  <c r="D11" i="3"/>
  <c r="D13" i="3" s="1"/>
  <c r="E11" i="3"/>
  <c r="F11" i="3"/>
  <c r="D12" i="3"/>
  <c r="E12" i="3"/>
  <c r="E13" i="3" s="1"/>
  <c r="F12" i="3"/>
  <c r="F13" i="3" s="1"/>
  <c r="D4" i="3"/>
  <c r="E4" i="3"/>
  <c r="F4" i="3"/>
  <c r="D5" i="3"/>
  <c r="E5" i="3"/>
  <c r="F5" i="3"/>
  <c r="F6" i="3"/>
  <c r="F15" i="3" s="1"/>
  <c r="C12" i="3"/>
  <c r="B12" i="3"/>
  <c r="C11" i="3"/>
  <c r="B11" i="3"/>
  <c r="C5" i="3"/>
  <c r="C6" i="3" s="1"/>
  <c r="B5" i="3"/>
  <c r="C4" i="3"/>
  <c r="B4" i="3"/>
  <c r="D20" i="2"/>
  <c r="C20" i="2"/>
  <c r="B20" i="2"/>
  <c r="H11" i="2"/>
  <c r="I11" i="2"/>
  <c r="I13" i="2" s="1"/>
  <c r="H12" i="2"/>
  <c r="I12" i="2"/>
  <c r="H4" i="2"/>
  <c r="I4" i="2"/>
  <c r="H5" i="2"/>
  <c r="H6" i="2" s="1"/>
  <c r="I5" i="2"/>
  <c r="F4" i="2"/>
  <c r="G4" i="2"/>
  <c r="F5" i="2"/>
  <c r="G5" i="2"/>
  <c r="G6" i="2"/>
  <c r="F11" i="2"/>
  <c r="G11" i="2"/>
  <c r="G13" i="2" s="1"/>
  <c r="F12" i="2"/>
  <c r="G12" i="2"/>
  <c r="C12" i="2"/>
  <c r="B12" i="2"/>
  <c r="C11" i="2"/>
  <c r="B11" i="2"/>
  <c r="C6" i="2"/>
  <c r="B19" i="2" s="1"/>
  <c r="C5" i="2"/>
  <c r="B5" i="2"/>
  <c r="C4" i="2"/>
  <c r="B4" i="2"/>
  <c r="D20" i="1"/>
  <c r="D19" i="1"/>
  <c r="C20" i="1"/>
  <c r="C19" i="1"/>
  <c r="B20" i="1"/>
  <c r="B19" i="1"/>
  <c r="G15" i="1"/>
  <c r="F11" i="1"/>
  <c r="G11" i="1"/>
  <c r="G12" i="1"/>
  <c r="F12" i="1"/>
  <c r="G5" i="1"/>
  <c r="F5" i="1"/>
  <c r="G4" i="1"/>
  <c r="F4" i="1"/>
  <c r="B4" i="1"/>
  <c r="C12" i="1"/>
  <c r="B12" i="1"/>
  <c r="C11" i="1"/>
  <c r="C4" i="1"/>
  <c r="C5" i="1"/>
  <c r="C6" i="1" s="1"/>
  <c r="B11" i="1"/>
  <c r="B5" i="1"/>
  <c r="O13" i="3" l="1"/>
  <c r="J15" i="3"/>
  <c r="C13" i="3"/>
  <c r="C15" i="3" s="1"/>
  <c r="E6" i="3"/>
  <c r="E15" i="3" s="1"/>
  <c r="D6" i="3"/>
  <c r="D15" i="3" s="1"/>
  <c r="G15" i="2"/>
  <c r="H13" i="2"/>
  <c r="H15" i="2" s="1"/>
  <c r="I6" i="2"/>
  <c r="I15" i="2" s="1"/>
  <c r="C13" i="2"/>
  <c r="C19" i="2" s="1"/>
  <c r="G13" i="1"/>
  <c r="G6" i="1"/>
  <c r="C13" i="1"/>
  <c r="C15" i="1" s="1"/>
  <c r="C15" i="2" l="1"/>
  <c r="D19" i="2" s="1"/>
</calcChain>
</file>

<file path=xl/sharedStrings.xml><?xml version="1.0" encoding="utf-8"?>
<sst xmlns="http://schemas.openxmlformats.org/spreadsheetml/2006/main" count="175" uniqueCount="33">
  <si>
    <t>RED</t>
  </si>
  <si>
    <t>Blank</t>
  </si>
  <si>
    <t>OD</t>
  </si>
  <si>
    <t>GFP</t>
  </si>
  <si>
    <t>OD no blank</t>
  </si>
  <si>
    <t>GFP no blank</t>
  </si>
  <si>
    <t>GFP/OD</t>
  </si>
  <si>
    <t>N/a</t>
  </si>
  <si>
    <t>GREEN</t>
  </si>
  <si>
    <t>GFP/OD fold-change</t>
  </si>
  <si>
    <t>pKS-02-006</t>
  </si>
  <si>
    <t>PLOTS</t>
  </si>
  <si>
    <t>pKS-02-004 (broken)</t>
  </si>
  <si>
    <t>Dynamic range</t>
  </si>
  <si>
    <t>Red</t>
  </si>
  <si>
    <t>Green</t>
  </si>
  <si>
    <t>pKS-02-014</t>
  </si>
  <si>
    <t>pKS-02-014-re-C1</t>
  </si>
  <si>
    <t>pKS-02-014-re-C2</t>
  </si>
  <si>
    <t>pKS-02-014-re-C3</t>
  </si>
  <si>
    <t>pKS-02-014 retransformed</t>
  </si>
  <si>
    <t>pKS-02-004 (2x ccaR, sfGFP)</t>
  </si>
  <si>
    <t>pKS-02-016-C1</t>
  </si>
  <si>
    <t>pKS-02-016-C2</t>
  </si>
  <si>
    <t>pKS-02-016-C3</t>
  </si>
  <si>
    <t>pKS-02-016-C4</t>
  </si>
  <si>
    <t>pKS-02-018-C1</t>
  </si>
  <si>
    <t>pKS-02-018-C2</t>
  </si>
  <si>
    <t>pKS-02-018-C3</t>
  </si>
  <si>
    <t>pKS-02-016</t>
  </si>
  <si>
    <t>pKS-02-018</t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</si>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</sst>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1" fillId="4" borderId="0" xfId="3"/>
    <xf numFmtId="0" fontId="1" fillId="3" borderId="0" xfId="2"/>
    <xf numFmtId="0" fontId="2" fillId="0" borderId="0" xfId="0" applyFont="1"/>
    <xf numFmtId="0" fontId="3" fillId="0" borderId="0" xfId="0" applyFont="1"/>
  </cellXfs>
  <cellStyles count="4">
    <cellStyle name="20% - Accent2" xfId="1" builtinId="34"/>
    <cellStyle name="20% - Accent6" xfId="3" builtinId="50"/>
    <cellStyle name="60% - Accent4" xfId="2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'pKS-02-004,6'!$B$18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'pKS-02-004,6'!$A$19:$A$20</c:f>
              <c:strCache>
                <c:ptCount val="2"/>
                <c:pt idx="0">
                  <c:v>pKS-02-006</c:v>
                </c:pt>
                <c:pt idx="1">
                  <c:v>pKS-02-004 (2x ccaR, sfGFP)</c:v>
                </c:pt>
              </c:strCache>
            </c:strRef>
          </c:cat>
          <c:val>
            <c:numRef>
              <c:f>'pKS-02-004,6'!$B$19:$B$20</c:f>
              <c:numCache>
                <c:formatCode>General</c:formatCode>
                <c:ptCount val="2"/>
                <c:pt idx="0">
                  <c:v>9.2293492222205948</c:v>
                </c:pt>
                <c:pt idx="1">
                  <c:v>71.413997143440113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7-468C-815B-19534DE2CDE5}"/>
            </c:ext>
          </c:extLst>
        </c:ser>
        <c:ser>
          <c:idx val="1"/>
          <c:order val="1"/>
          <c:tx>
            <c:strRef>
              <c:f>'pKS-02-004,6'!$C$18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'pKS-02-004,6'!$A$19:$A$20</c:f>
              <c:strCache>
                <c:ptCount val="2"/>
                <c:pt idx="0">
                  <c:v>pKS-02-006</c:v>
                </c:pt>
                <c:pt idx="1">
                  <c:v>pKS-02-004 (2x ccaR, sfGFP)</c:v>
                </c:pt>
              </c:strCache>
            </c:strRef>
          </c:cat>
          <c:val>
            <c:numRef>
              <c:f>'pKS-02-004,6'!$C$19:$C$20</c:f>
              <c:numCache>
                <c:formatCode>General</c:formatCode>
                <c:ptCount val="2"/>
                <c:pt idx="0">
                  <c:v>67.333592751533644</c:v>
                </c:pt>
                <c:pt idx="1">
                  <c:v>896.33542423242011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7-468C-815B-19534DE2C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187887"/>
        <c:axId val="1022185007"/>
      </c:barChart>
      <c:catAx>
        <c:axId val="10221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85007"/>
        <c:crosses val="autoZero"/>
        <c:auto val="1"/>
        <c:lblAlgn val="ctr"/>
        <c:lblOffset val="100"/>
        <c:noMultiLvlLbl val="0"/>
      </c:catAx>
      <c:valAx>
        <c:axId val="10221850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sfGFP</a:t>
                </a:r>
                <a:r>
                  <a:rPr lang="en-GB" baseline="0"/>
                  <a:t> flu./OD600, AU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8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'pKS-02-004,6'!$D$18</c:f>
              <c:strCache>
                <c:ptCount val="1"/>
                <c:pt idx="0">
                  <c:v>Dynamic range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'pKS-02-004,6'!$A$19:$A$20</c:f>
              <c:strCache>
                <c:ptCount val="2"/>
                <c:pt idx="0">
                  <c:v>pKS-02-006</c:v>
                </c:pt>
                <c:pt idx="1">
                  <c:v>pKS-02-004 (2x ccaR, sfGFP)</c:v>
                </c:pt>
              </c:strCache>
            </c:strRef>
          </c:cat>
          <c:val>
            <c:numRef>
              <c:f>'pKS-02-004,6'!$D$19:$D$20</c:f>
              <c:numCache>
                <c:formatCode>General</c:formatCode>
                <c:ptCount val="2"/>
                <c:pt idx="0">
                  <c:v>7.2955948605153207</c:v>
                </c:pt>
                <c:pt idx="1">
                  <c:v>12.551256897608832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B2-42E8-9117-98F4E480E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187887"/>
        <c:axId val="1022185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'pKS-02-004,6'!$B$18</c15:sqref>
                        </c15:formulaRef>
                      </c:ext>
                    </c:extLst>
                    <c:strCache>
                      <c:ptCount val="1"/>
                      <c:pt idx="0">
                        <c:v>Red</c:v>
                      </c:pt>
                    </c:strCache>
                  </c:strRef>
                </c:tx>
                <c:spPr>
                  <a:solidFill>
                    <a:srgbClr val="C0000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'pKS-02-004,6'!$A$19:$A$20</c15:sqref>
                        </c15:formulaRef>
                      </c:ext>
                    </c:extLst>
                    <c:strCache>
                      <c:ptCount val="2"/>
                      <c:pt idx="0">
                        <c:v>pKS-02-006</c:v>
                      </c:pt>
                      <c:pt idx="1">
                        <c:v>pKS-02-004 (2x ccaR, sfGFP)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'pKS-02-004,6'!$B$19:$B$20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9.2293492222205948</c:v>
                      </c:pt>
                      <c:pt idx="1">
                        <c:v>71.413997143440113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6B2-42E8-9117-98F4E480EB6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'pKS-02-004,6'!$C$18</c15:sqref>
                        </c15:formulaRef>
                      </c:ext>
                    </c:extLst>
                    <c:strCache>
                      <c:ptCount val="1"/>
                      <c:pt idx="0">
                        <c:v>Green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'pKS-02-004,6'!$A$19:$A$20</c15:sqref>
                        </c15:formulaRef>
                      </c:ext>
                    </c:extLst>
                    <c:strCache>
                      <c:ptCount val="2"/>
                      <c:pt idx="0">
                        <c:v>pKS-02-006</c:v>
                      </c:pt>
                      <c:pt idx="1">
                        <c:v>pKS-02-004 (2x ccaR, sfGFP)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'pKS-02-004,6'!$C$19:$C$20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67.333592751533644</c:v>
                      </c:pt>
                      <c:pt idx="1">
                        <c:v>896.33542423242011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6B2-42E8-9117-98F4E480EB6C}"/>
                  </c:ext>
                </c:extLst>
              </c15:ser>
            </c15:filteredBarSeries>
          </c:ext>
        </c:extLst>
      </c:barChart>
      <c:catAx>
        <c:axId val="10221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85007"/>
        <c:crosses val="autoZero"/>
        <c:auto val="1"/>
        <c:lblAlgn val="ctr"/>
        <c:lblOffset val="100"/>
        <c:noMultiLvlLbl val="0"/>
      </c:catAx>
      <c:valAx>
        <c:axId val="10221850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Dynamic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8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'pKS-02-014'!$B$18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'pKS-02-014'!$B$22:$B$23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87.312208835712909</c:v>
                  </c:pt>
                </c:numCache>
              </c:numRef>
            </c:plus>
            <c:minus>
              <c:numRef>
                <c:f>'pKS-02-014'!$B$22:$B$23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87.312208835712909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'pKS-02-014'!$A$19:$A$20</c:f>
              <c:strCache>
                <c:ptCount val="2"/>
                <c:pt idx="0">
                  <c:v>pKS-02-014</c:v>
                </c:pt>
                <c:pt idx="1">
                  <c:v>pKS-02-014 retransformed</c:v>
                </c:pt>
              </c:strCache>
            </c:strRef>
          </c:cat>
          <c:val>
            <c:numRef>
              <c:f>'pKS-02-014'!$B$19:$B$20</c:f>
              <c:numCache>
                <c:formatCode>General</c:formatCode>
                <c:ptCount val="2"/>
                <c:pt idx="0">
                  <c:v>20.146058927222363</c:v>
                </c:pt>
                <c:pt idx="1">
                  <c:v>320.97036375258546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9-4070-90E6-FCA32B1EF8E2}"/>
            </c:ext>
          </c:extLst>
        </c:ser>
        <c:ser>
          <c:idx val="1"/>
          <c:order val="1"/>
          <c:tx>
            <c:strRef>
              <c:f>'pKS-02-014'!$C$18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'pKS-02-014'!$C$22:$C$23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452.73591946527807</c:v>
                  </c:pt>
                </c:numCache>
              </c:numRef>
            </c:plus>
            <c:minus>
              <c:numRef>
                <c:f>'pKS-02-014'!$C$22:$C$23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452.73591946527807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strRef>
              <c:f>'pKS-02-014'!$A$19:$A$20</c:f>
              <c:strCache>
                <c:ptCount val="2"/>
                <c:pt idx="0">
                  <c:v>pKS-02-014</c:v>
                </c:pt>
                <c:pt idx="1">
                  <c:v>pKS-02-014 retransformed</c:v>
                </c:pt>
              </c:strCache>
            </c:strRef>
          </c:cat>
          <c:val>
            <c:numRef>
              <c:f>'pKS-02-014'!$C$19:$C$20</c:f>
              <c:numCache>
                <c:formatCode>General</c:formatCode>
                <c:ptCount val="2"/>
                <c:pt idx="0">
                  <c:v>4053.392658509455</c:v>
                </c:pt>
                <c:pt idx="1">
                  <c:v>1100.7197240452804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9-4070-90E6-FCA32B1EF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187887"/>
        <c:axId val="1022185007"/>
      </c:barChart>
      <c:catAx>
        <c:axId val="10221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85007"/>
        <c:crosses val="autoZero"/>
        <c:auto val="1"/>
        <c:lblAlgn val="ctr"/>
        <c:lblOffset val="100"/>
        <c:noMultiLvlLbl val="0"/>
      </c:catAx>
      <c:valAx>
        <c:axId val="10221850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sfGFP</a:t>
                </a:r>
                <a:r>
                  <a:rPr lang="en-GB" baseline="0"/>
                  <a:t> flu./OD600, AU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8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'pKS-02-014'!$D$18</c:f>
              <c:strCache>
                <c:ptCount val="1"/>
                <c:pt idx="0">
                  <c:v>Dynamic range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'pKS-02-014'!$D$22:$D$23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0.93796348956425457</c:v>
                  </c:pt>
                </c:numCache>
              </c:numRef>
            </c:plus>
            <c:minus>
              <c:numRef>
                <c:f>'pKS-02-014'!$D$22:$D$23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0.93796348956425457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'pKS-02-014'!$A$19:$A$20</c:f>
              <c:strCache>
                <c:ptCount val="2"/>
                <c:pt idx="0">
                  <c:v>pKS-02-014</c:v>
                </c:pt>
                <c:pt idx="1">
                  <c:v>pKS-02-014 retransformed</c:v>
                </c:pt>
              </c:strCache>
            </c:strRef>
          </c:cat>
          <c:val>
            <c:numRef>
              <c:f>'pKS-02-014'!$D$19:$D$20</c:f>
              <c:numCache>
                <c:formatCode>General</c:formatCode>
                <c:ptCount val="2"/>
                <c:pt idx="0">
                  <c:v>201.20027808676306</c:v>
                </c:pt>
                <c:pt idx="1">
                  <c:v>3.4414241218251185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8-4B4D-922B-AD51B83B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187887"/>
        <c:axId val="1022185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'pKS-02-014'!$B$18</c15:sqref>
                        </c15:formulaRef>
                      </c:ext>
                    </c:extLst>
                    <c:strCache>
                      <c:ptCount val="1"/>
                      <c:pt idx="0">
                        <c:v>Red</c:v>
                      </c:pt>
                    </c:strCache>
                  </c:strRef>
                </c:tx>
                <c:spPr>
                  <a:solidFill>
                    <a:srgbClr val="C0000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'pKS-02-014'!$A$19:$A$20</c15:sqref>
                        </c15:formulaRef>
                      </c:ext>
                    </c:extLst>
                    <c:strCache>
                      <c:ptCount val="2"/>
                      <c:pt idx="0">
                        <c:v>pKS-02-014</c:v>
                      </c:pt>
                      <c:pt idx="1">
                        <c:v>pKS-02-014 retransformed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'pKS-02-014'!$B$19:$B$20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20.146058927222363</c:v>
                      </c:pt>
                      <c:pt idx="1">
                        <c:v>320.97036375258546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D68-4B4D-922B-AD51B83B22F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'pKS-02-014'!$C$18</c15:sqref>
                        </c15:formulaRef>
                      </c:ext>
                    </c:extLst>
                    <c:strCache>
                      <c:ptCount val="1"/>
                      <c:pt idx="0">
                        <c:v>Green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'pKS-02-014'!$A$19:$A$20</c15:sqref>
                        </c15:formulaRef>
                      </c:ext>
                    </c:extLst>
                    <c:strCache>
                      <c:ptCount val="2"/>
                      <c:pt idx="0">
                        <c:v>pKS-02-014</c:v>
                      </c:pt>
                      <c:pt idx="1">
                        <c:v>pKS-02-014 retransformed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'pKS-02-014'!$C$19:$C$20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4053.392658509455</c:v>
                      </c:pt>
                      <c:pt idx="1">
                        <c:v>1100.7197240452804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D68-4B4D-922B-AD51B83B22F6}"/>
                  </c:ext>
                </c:extLst>
              </c15:ser>
            </c15:filteredBarSeries>
          </c:ext>
        </c:extLst>
      </c:barChart>
      <c:catAx>
        <c:axId val="10221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85007"/>
        <c:crosses val="autoZero"/>
        <c:auto val="1"/>
        <c:lblAlgn val="ctr"/>
        <c:lblOffset val="100"/>
        <c:noMultiLvlLbl val="0"/>
      </c:catAx>
      <c:valAx>
        <c:axId val="102218500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Dynamic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18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'pKS-02-016,18'!$B$18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'pKS-02-016,18'!$B$22:$B$23</c:f>
                <c:numCache>
                  <c:formatCode>General</c:formatCode>
                  <c:ptCount val="2"/>
                  <c:pt idx="0">
                    <c:v>25.086121942359121</c:v>
                  </c:pt>
                  <c:pt idx="1">
                    <c:v>9.0912153969593081</c:v>
                  </c:pt>
                </c:numCache>
              </c:numRef>
            </c:plus>
            <c:minus>
              <c:numRef>
                <c:f>'pKS-02-016,18'!$B$22:$B$23</c:f>
                <c:numCache>
                  <c:formatCode>General</c:formatCode>
                  <c:ptCount val="2"/>
                  <c:pt idx="0">
                    <c:v>25.086121942359121</c:v>
                  </c:pt>
                  <c:pt idx="1">
                    <c:v>9.0912153969593081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'pKS-02-016,18'!$A$19:$A$20</c:f>
              <c:strCache>
                <c:ptCount val="2"/>
                <c:pt idx="0">
                  <c:v>pKS-02-016</c:v>
                </c:pt>
                <c:pt idx="1">
                  <c:v>pKS-02-018</c:v>
                </c:pt>
              </c:strCache>
            </c:strRef>
          </c:cat>
          <c:val>
            <c:numRef>
              <c:f>'pKS-02-016,18'!$B$19:$B$20</c:f>
              <c:numCache>
                <c:formatCode>General</c:formatCode>
                <c:ptCount val="2"/>
                <c:pt idx="0">
                  <c:v>130.53035305772718</c:v>
                </c:pt>
                <c:pt idx="1">
                  <c:v>98.834278004372678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5-4F87-85CD-B555A64752A0}"/>
            </c:ext>
          </c:extLst>
        </c:ser>
        <c:ser>
          <c:idx val="1"/>
          <c:order val="1"/>
          <c:tx>
            <c:strRef>
              <c:f>'pKS-02-016,18'!$C$18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'pKS-02-016,18'!$C$22:$C$23</c:f>
                <c:numCache>
                  <c:formatCode>General</c:formatCode>
                  <c:ptCount val="2"/>
                  <c:pt idx="0">
                    <c:v>1575.7903988568637</c:v>
                  </c:pt>
                  <c:pt idx="1">
                    <c:v>339.58113000159483</c:v>
                  </c:pt>
                </c:numCache>
              </c:numRef>
            </c:plus>
            <c:minus>
              <c:numRef>
                <c:f>'pKS-02-016,18'!$C$22:$C$23</c:f>
                <c:numCache>
                  <c:formatCode>General</c:formatCode>
                  <c:ptCount val="2"/>
                  <c:pt idx="0">
                    <c:v>1575.7903988568637</c:v>
                  </c:pt>
                  <c:pt idx="1">
                    <c:v>339.58113000159483</c:v>
                  </c:pt>
                </c:numCache>
              </c:numRef>
            </c:minus>
            <c:spPr>
              <a:noFill/>
              <a:ln w="19050" cap="flat" cmpd="sng" algn="ctr">
                <a:solidFill>
                  <a:srgbClr val="FFC000"/>
                </a:solidFill>
                <a:round/>
              </a:ln>
              <a:effectLst/>
            </c:spPr>
          </c:errBars>
          <c:cat>
            <c:strRef>
              <c:f>'pKS-02-016,18'!$A$19:$A$20</c:f>
              <c:strCache>
                <c:ptCount val="2"/>
                <c:pt idx="0">
                  <c:v>pKS-02-016</c:v>
                </c:pt>
                <c:pt idx="1">
                  <c:v>pKS-02-018</c:v>
                </c:pt>
              </c:strCache>
            </c:strRef>
          </c:cat>
          <c:val>
            <c:numRef>
              <c:f>'pKS-02-016,18'!$C$19:$C$20</c:f>
              <c:numCache>
                <c:formatCode>General</c:formatCode>
                <c:ptCount val="2"/>
                <c:pt idx="0">
                  <c:v>8120.8477442399635</c:v>
                </c:pt>
                <c:pt idx="1">
                  <c:v>4899.292781657623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5-4F87-85CD-B555A6475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675519"/>
        <c:axId val="1612673599"/>
      </c:barChart>
      <c:catAx>
        <c:axId val="161267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673599"/>
        <c:crosses val="autoZero"/>
        <c:auto val="1"/>
        <c:lblAlgn val="ctr"/>
        <c:lblOffset val="100"/>
        <c:noMultiLvlLbl val="0"/>
      </c:catAx>
      <c:valAx>
        <c:axId val="16126735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sfGFP</a:t>
                </a:r>
                <a:r>
                  <a:rPr lang="en-GB" baseline="0"/>
                  <a:t> flu./OD600, AU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67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'pKS-02-016,18'!$D$18</c:f>
              <c:strCache>
                <c:ptCount val="1"/>
                <c:pt idx="0">
                  <c:v>Dynamic range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'pKS-02-016,18'!$D$22:$D$23</c:f>
                <c:numCache>
                  <c:formatCode>General</c:formatCode>
                  <c:ptCount val="2"/>
                  <c:pt idx="0">
                    <c:v>12.754165938478584</c:v>
                  </c:pt>
                  <c:pt idx="1">
                    <c:v>3.4195983603593119</c:v>
                  </c:pt>
                </c:numCache>
              </c:numRef>
            </c:plus>
            <c:minus>
              <c:numRef>
                <c:f>'pKS-02-016,18'!$D$22:$D$23</c:f>
                <c:numCache>
                  <c:formatCode>General</c:formatCode>
                  <c:ptCount val="2"/>
                  <c:pt idx="0">
                    <c:v>12.754165938478584</c:v>
                  </c:pt>
                  <c:pt idx="1">
                    <c:v>3.4195983603593119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'pKS-02-016,18'!$A$19:$A$20</c:f>
              <c:strCache>
                <c:ptCount val="2"/>
                <c:pt idx="0">
                  <c:v>pKS-02-016</c:v>
                </c:pt>
                <c:pt idx="1">
                  <c:v>pKS-02-018</c:v>
                </c:pt>
              </c:strCache>
            </c:strRef>
          </c:cat>
          <c:val>
            <c:numRef>
              <c:f>'pKS-02-016,18'!$D$19:$D$20</c:f>
              <c:numCache>
                <c:formatCode>General</c:formatCode>
                <c:ptCount val="2"/>
                <c:pt idx="0">
                  <c:v>63.188058639314853</c:v>
                </c:pt>
                <c:pt idx="1">
                  <c:v>48.042990971311518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0E-44F1-A4BC-60527F4E8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675519"/>
        <c:axId val="16126735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'pKS-02-016,18'!$B$18</c15:sqref>
                        </c15:formulaRef>
                      </c:ext>
                    </c:extLst>
                    <c:strCache>
                      <c:ptCount val="1"/>
                      <c:pt idx="0">
                        <c:v>Red</c:v>
                      </c:pt>
                    </c:strCache>
                  </c:strRef>
                </c:tx>
                <c:spPr>
                  <a:solidFill>
                    <a:srgbClr val="C00000"/>
                  </a:solidFill>
                  <a:ln>
                    <a:noFill/>
                  </a:ln>
                  <a:effectLst/>
                </c:spPr>
                <c:invertIfNegative val="0"/>
                <c:errBars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'pKS-02-016,18'!$B$22:$B$23</c15:sqref>
                          </c15:formulaRef>
                        </c:ext>
                      </c:extLst>
                      <c:numCache>
                        <c:formatCode>General</c:formatCode>
                        <c:ptCount val="2"/>
                        <c:pt idx="0">
                          <c:v>25.086121942359121</c:v>
                        </c:pt>
                        <c:pt idx="1">
                          <c:v>9.0912153969593081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'pKS-02-016,18'!$B$22:$B$23</c15:sqref>
                          </c15:formulaRef>
                        </c:ext>
                      </c:extLst>
                      <c:numCache>
                        <c:formatCode>General</c:formatCode>
                        <c:ptCount val="2"/>
                        <c:pt idx="0">
                          <c:v>25.086121942359121</c:v>
                        </c:pt>
                        <c:pt idx="1">
                          <c:v>9.0912153969593081</c:v>
                        </c:pt>
                      </c:numCache>
                    </c:numRef>
                  </c:minus>
                  <c:spPr>
                    <a:noFill/>
                    <a:ln w="19050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strRef>
                    <c:extLst>
                      <c:ext uri="{02D57815-91ED-43cb-92C2-25804820EDAC}">
                        <c15:formulaRef>
                          <c15:sqref>'pKS-02-016,18'!$A$19:$A$20</c15:sqref>
                        </c15:formulaRef>
                      </c:ext>
                    </c:extLst>
                    <c:strCache>
                      <c:ptCount val="2"/>
                      <c:pt idx="0">
                        <c:v>pKS-02-016</c:v>
                      </c:pt>
                      <c:pt idx="1">
                        <c:v>pKS-02-018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'pKS-02-016,18'!$B$19:$B$20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130.53035305772718</c:v>
                      </c:pt>
                      <c:pt idx="1">
                        <c:v>98.834278004372678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10E-44F1-A4BC-60527F4E8F8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'pKS-02-016,18'!$C$18</c15:sqref>
                        </c15:formulaRef>
                      </c:ext>
                    </c:extLst>
                    <c:strCache>
                      <c:ptCount val="1"/>
                      <c:pt idx="0">
                        <c:v>Green</c:v>
                      </c:pt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errBars>
                  <c:errBarType val="both"/>
                  <c:errValType val="cust"/>
                  <c:noEndCap val="0"/>
                  <c:plus>
                    <c:numRef>
                      <c:extLst>
                        <c:ext xmlns:c15="http://schemas.microsoft.com/office/drawing/2012/chart" uri="{02D57815-91ED-43cb-92C2-25804820EDAC}">
                          <c15:formulaRef>
                            <c15:sqref>'pKS-02-016,18'!$C$22:$C$23</c15:sqref>
                          </c15:formulaRef>
                        </c:ext>
                      </c:extLst>
                      <c:numCache>
                        <c:formatCode>General</c:formatCode>
                        <c:ptCount val="2"/>
                        <c:pt idx="0">
                          <c:v>1575.7903988568637</c:v>
                        </c:pt>
                        <c:pt idx="1">
                          <c:v>339.58113000159483</c:v>
                        </c:pt>
                      </c:numCache>
                    </c:numRef>
                  </c:plus>
                  <c:minus>
                    <c:numRef>
                      <c:extLst>
                        <c:ext xmlns:c15="http://schemas.microsoft.com/office/drawing/2012/chart" uri="{02D57815-91ED-43cb-92C2-25804820EDAC}">
                          <c15:formulaRef>
                            <c15:sqref>'pKS-02-016,18'!$C$22:$C$23</c15:sqref>
                          </c15:formulaRef>
                        </c:ext>
                      </c:extLst>
                      <c:numCache>
                        <c:formatCode>General</c:formatCode>
                        <c:ptCount val="2"/>
                        <c:pt idx="0">
                          <c:v>1575.7903988568637</c:v>
                        </c:pt>
                        <c:pt idx="1">
                          <c:v>339.58113000159483</c:v>
                        </c:pt>
                      </c:numCache>
                    </c:numRef>
                  </c:minus>
                  <c:spPr>
                    <a:noFill/>
                    <a:ln w="19050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'pKS-02-016,18'!$A$19:$A$20</c15:sqref>
                        </c15:formulaRef>
                      </c:ext>
                    </c:extLst>
                    <c:strCache>
                      <c:ptCount val="2"/>
                      <c:pt idx="0">
                        <c:v>pKS-02-016</c:v>
                      </c:pt>
                      <c:pt idx="1">
                        <c:v>pKS-02-018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'pKS-02-016,18'!$C$19:$C$20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8120.8477442399635</c:v>
                      </c:pt>
                      <c:pt idx="1">
                        <c:v>4899.292781657623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10E-44F1-A4BC-60527F4E8F85}"/>
                  </c:ext>
                </c:extLst>
              </c15:ser>
            </c15:filteredBarSeries>
          </c:ext>
        </c:extLst>
      </c:barChart>
      <c:catAx>
        <c:axId val="161267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673599"/>
        <c:crosses val="autoZero"/>
        <c:auto val="1"/>
        <c:lblAlgn val="ctr"/>
        <c:lblOffset val="100"/>
        <c:noMultiLvlLbl val="0"/>
      </c:catAx>
      <c:valAx>
        <c:axId val="161267359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Dynamic range, fold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67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18</xdr:row>
      <xdr:rowOff>28575</xdr:rowOff>
    </xdr:from>
    <xdr:to>
      <xdr:col>9</xdr:col>
      <xdr:colOff>165375</xdr:colOff>
      <xdr:row>33</xdr:row>
      <xdr:rowOff>51075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70231F-13C6-AE67-7A4A-87555E131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18</xdr:row>
      <xdr:rowOff>0</xdr:rowOff>
    </xdr:from>
    <xdr:to>
      <xdr:col>16</xdr:col>
      <xdr:colOff>451125</xdr:colOff>
      <xdr:row>33</xdr:row>
      <xdr:rowOff>22500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52E428-969E-45C9-968C-300D51E2F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4763</xdr:colOff>
      <xdr:row>19</xdr:row>
      <xdr:rowOff>152400</xdr:rowOff>
    </xdr:from>
    <xdr:to>
      <xdr:col>7</xdr:col>
      <xdr:colOff>932138</xdr:colOff>
      <xdr:row>34</xdr:row>
      <xdr:rowOff>174900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EA4D3-6ED1-42B7-892E-5AEF4E257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238125</xdr:colOff>
      <xdr:row>20</xdr:row>
      <xdr:rowOff>0</xdr:rowOff>
    </xdr:from>
    <xdr:to>
      <xdr:col>12</xdr:col>
      <xdr:colOff>98700</xdr:colOff>
      <xdr:row>35</xdr:row>
      <xdr:rowOff>22500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F8E173-FCC2-426E-B6EE-8B9447AB9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18</xdr:row>
      <xdr:rowOff>61912</xdr:rowOff>
    </xdr:from>
    <xdr:to>
      <xdr:col>12</xdr:col>
      <xdr:colOff>464291</xdr:colOff>
      <xdr:row>33</xdr:row>
      <xdr:rowOff>84412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2DF71-1FD5-490F-AABD-AE17ADE81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18</xdr:row>
      <xdr:rowOff>66675</xdr:rowOff>
    </xdr:from>
    <xdr:to>
      <xdr:col>20</xdr:col>
      <xdr:colOff>292562</xdr:colOff>
      <xdr:row>33</xdr:row>
      <xdr:rowOff>89175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C0874-7963-4668-BEC3-ED72C465E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opLeftCell="B5" zoomScaleNormal="100" workbookViewId="0">
      <selection activeCell="J37" sqref="J37"/>
    </sheetView>
  </sheetViews>
  <sheetFormatPr defaultRowHeight="15" x14ac:dyDescent="0.25"/>
  <cols>
    <col min="1" max="1" width="22.7109375" customWidth="1"/>
    <col min="2" max="2" width="14.140625" customWidth="1"/>
    <col min="3" max="3" width="16.42578125" customWidth="1"/>
    <col min="4" max="4" width="15.28515625" customWidth="1"/>
    <col min="7" max="7" width="20.140625" customWidth="1"/>
  </cols>
  <sheetData>
    <row r="1" spans="1:7" x14ac:dyDescent="0.25">
      <c r="A1" s="1" t="s">
        <v>0</v>
      </c>
      <c r="B1" s="1" t="s">
        <v>1</v>
      </c>
      <c r="C1" s="1" t="s">
        <v>10</v>
      </c>
      <c r="E1" s="1" t="s">
        <v>0</v>
      </c>
      <c r="F1" s="1" t="s">
        <v>1</v>
      </c>
      <c r="G1" s="1" t="s">
        <v>12</v>
      </c>
    </row>
    <row r="2" spans="1:7" x14ac:dyDescent="0.25">
      <c r="A2" s="1" t="s">
        <v>2</v>
      </c>
      <c r="B2">
        <v>5.3700000047683716E-2</v>
      </c>
      <c r="C2">
        <v>0.48710000514984131</v>
      </c>
      <c r="E2" s="1" t="s">
        <v>2</v>
      </c>
      <c r="F2" s="4">
        <v>4.7899999999999998E-2</v>
      </c>
      <c r="G2" s="5">
        <v>0.53800000000000003</v>
      </c>
    </row>
    <row r="3" spans="1:7" x14ac:dyDescent="0.25">
      <c r="A3" s="1" t="s">
        <v>3</v>
      </c>
      <c r="B3">
        <v>5</v>
      </c>
      <c r="C3">
        <v>9</v>
      </c>
      <c r="E3" s="1" t="s">
        <v>3</v>
      </c>
      <c r="F3">
        <v>37</v>
      </c>
      <c r="G3" s="5">
        <v>72</v>
      </c>
    </row>
    <row r="4" spans="1:7" x14ac:dyDescent="0.25">
      <c r="A4" s="1" t="s">
        <v>4</v>
      </c>
      <c r="B4">
        <f>B2-$B$2</f>
        <v>0</v>
      </c>
      <c r="C4">
        <f>C2-$B$2</f>
        <v>0.43340000510215759</v>
      </c>
      <c r="E4" s="1" t="s">
        <v>4</v>
      </c>
      <c r="F4">
        <f>F2-$F$2</f>
        <v>0</v>
      </c>
      <c r="G4">
        <f>G2-$F$2</f>
        <v>0.49010000000000004</v>
      </c>
    </row>
    <row r="5" spans="1:7" x14ac:dyDescent="0.25">
      <c r="A5" s="1" t="s">
        <v>5</v>
      </c>
      <c r="B5">
        <f>B3-$B$3</f>
        <v>0</v>
      </c>
      <c r="C5">
        <f>C3-$B$3</f>
        <v>4</v>
      </c>
      <c r="E5" s="1" t="s">
        <v>5</v>
      </c>
      <c r="F5">
        <f>F3-$F$3</f>
        <v>0</v>
      </c>
      <c r="G5">
        <f>G3-$F$3</f>
        <v>35</v>
      </c>
    </row>
    <row r="6" spans="1:7" x14ac:dyDescent="0.25">
      <c r="A6" s="1" t="s">
        <v>6</v>
      </c>
      <c r="B6" t="s">
        <v>7</v>
      </c>
      <c r="C6">
        <f>C5/C4</f>
        <v>9.2293492222205948</v>
      </c>
      <c r="E6" s="1" t="s">
        <v>6</v>
      </c>
      <c r="F6" t="s">
        <v>7</v>
      </c>
      <c r="G6">
        <f>G5/G4</f>
        <v>71.413997143440113</v>
      </c>
    </row>
    <row r="8" spans="1:7" x14ac:dyDescent="0.25">
      <c r="A8" s="2" t="s">
        <v>8</v>
      </c>
      <c r="B8" s="2" t="s">
        <v>1</v>
      </c>
      <c r="C8" s="2" t="s">
        <v>10</v>
      </c>
      <c r="E8" s="2" t="s">
        <v>8</v>
      </c>
      <c r="F8" s="2" t="s">
        <v>1</v>
      </c>
      <c r="G8" s="2" t="s">
        <v>12</v>
      </c>
    </row>
    <row r="9" spans="1:7" x14ac:dyDescent="0.25">
      <c r="A9" s="2" t="s">
        <v>2</v>
      </c>
      <c r="B9">
        <v>5.3700000047683716E-2</v>
      </c>
      <c r="C9">
        <v>0.57349997758865356</v>
      </c>
      <c r="E9" s="2" t="s">
        <v>2</v>
      </c>
      <c r="F9" s="4">
        <v>4.7899999999999998E-2</v>
      </c>
      <c r="G9" s="5">
        <v>0.65369999999999995</v>
      </c>
    </row>
    <row r="10" spans="1:7" x14ac:dyDescent="0.25">
      <c r="A10" s="2" t="s">
        <v>3</v>
      </c>
      <c r="B10">
        <v>5</v>
      </c>
      <c r="C10">
        <v>40</v>
      </c>
      <c r="E10" s="2" t="s">
        <v>3</v>
      </c>
      <c r="F10" s="5">
        <v>37</v>
      </c>
      <c r="G10" s="5">
        <v>580</v>
      </c>
    </row>
    <row r="11" spans="1:7" x14ac:dyDescent="0.25">
      <c r="A11" s="2" t="s">
        <v>4</v>
      </c>
      <c r="B11">
        <f>B9-$B$9</f>
        <v>0</v>
      </c>
      <c r="C11">
        <f>C9-$B$9</f>
        <v>0.51979997754096985</v>
      </c>
      <c r="E11" s="2" t="s">
        <v>4</v>
      </c>
      <c r="F11">
        <f>F9-$F$9</f>
        <v>0</v>
      </c>
      <c r="G11">
        <f>G9-$F$9</f>
        <v>0.60579999999999989</v>
      </c>
    </row>
    <row r="12" spans="1:7" x14ac:dyDescent="0.25">
      <c r="A12" s="2" t="s">
        <v>5</v>
      </c>
      <c r="B12">
        <f>B10-$B$10</f>
        <v>0</v>
      </c>
      <c r="C12">
        <f>C10-$B$10</f>
        <v>35</v>
      </c>
      <c r="E12" s="2" t="s">
        <v>5</v>
      </c>
      <c r="F12">
        <f>F10-$F$10</f>
        <v>0</v>
      </c>
      <c r="G12">
        <f>G10-$F$10</f>
        <v>543</v>
      </c>
    </row>
    <row r="13" spans="1:7" x14ac:dyDescent="0.25">
      <c r="A13" s="2" t="s">
        <v>6</v>
      </c>
      <c r="B13" t="s">
        <v>7</v>
      </c>
      <c r="C13">
        <f>C12/C11</f>
        <v>67.333592751533644</v>
      </c>
      <c r="E13" s="2" t="s">
        <v>6</v>
      </c>
      <c r="F13" t="s">
        <v>7</v>
      </c>
      <c r="G13">
        <f>G12/G11</f>
        <v>896.33542423242011</v>
      </c>
    </row>
    <row r="15" spans="1:7" x14ac:dyDescent="0.25">
      <c r="A15" t="s">
        <v>9</v>
      </c>
      <c r="C15" s="3">
        <f t="shared" ref="C15" si="0">C13/C6</f>
        <v>7.2955948605153207</v>
      </c>
      <c r="G15" s="3">
        <f t="shared" ref="G15" si="1">G13/G6</f>
        <v>12.551256897608832</v>
      </c>
    </row>
    <row r="17" spans="1:4" x14ac:dyDescent="0.25">
      <c r="A17" t="s">
        <v>11</v>
      </c>
    </row>
    <row r="18" spans="1:4" x14ac:dyDescent="0.25">
      <c r="B18" t="s">
        <v>14</v>
      </c>
      <c r="C18" t="s">
        <v>15</v>
      </c>
      <c r="D18" t="s">
        <v>13</v>
      </c>
    </row>
    <row r="19" spans="1:4" x14ac:dyDescent="0.25">
      <c r="A19" t="s">
        <v>10</v>
      </c>
      <c r="B19">
        <f>C6</f>
        <v>9.2293492222205948</v>
      </c>
      <c r="C19">
        <f>C13</f>
        <v>67.333592751533644</v>
      </c>
      <c r="D19">
        <f>C15</f>
        <v>7.2955948605153207</v>
      </c>
    </row>
    <row r="20" spans="1:4" x14ac:dyDescent="0.25">
      <c r="A20" t="s">
        <v>21</v>
      </c>
      <c r="B20">
        <f>G6</f>
        <v>71.413997143440113</v>
      </c>
      <c r="C20">
        <f>G13</f>
        <v>896.33542423242011</v>
      </c>
      <c r="D20">
        <f>G15</f>
        <v>12.551256897608832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F233-7737-4926-8590-AD1DF48402F9}">
  <dimension ref="A1:I23"/>
  <sheetViews>
    <sheetView tabSelected="1" topLeftCell="A10" zoomScale="130" zoomScaleNormal="130" workbookViewId="0">
      <selection activeCell="J20" sqref="J20"/>
    </sheetView>
  </sheetViews>
  <sheetFormatPr defaultRowHeight="15" x14ac:dyDescent="0.25"/>
  <cols>
    <col min="1" max="1" width="21.7109375" customWidth="1"/>
    <col min="2" max="2" width="14.140625" customWidth="1"/>
    <col min="3" max="3" width="16.42578125" customWidth="1"/>
    <col min="4" max="4" width="15.28515625" customWidth="1"/>
    <col min="7" max="7" width="20.140625" customWidth="1"/>
    <col min="8" max="8" width="20" customWidth="1"/>
    <col min="9" max="9" width="17.85546875" customWidth="1"/>
  </cols>
  <sheetData>
    <row r="1" spans="1:9" x14ac:dyDescent="0.25">
      <c r="A1" s="1" t="s">
        <v>0</v>
      </c>
      <c r="B1" s="1" t="s">
        <v>1</v>
      </c>
      <c r="C1" s="1" t="s">
        <v>16</v>
      </c>
      <c r="E1" s="1" t="s">
        <v>0</v>
      </c>
      <c r="F1" s="1" t="s">
        <v>1</v>
      </c>
      <c r="G1" s="1" t="s">
        <v>17</v>
      </c>
      <c r="H1" s="1" t="s">
        <v>18</v>
      </c>
      <c r="I1" s="1" t="s">
        <v>19</v>
      </c>
    </row>
    <row r="2" spans="1:9" x14ac:dyDescent="0.25">
      <c r="A2" s="1" t="s">
        <v>2</v>
      </c>
      <c r="B2" s="4">
        <v>5.3699999999999998E-2</v>
      </c>
      <c r="C2" s="4">
        <v>0.84789999999999999</v>
      </c>
      <c r="E2" s="1" t="s">
        <v>2</v>
      </c>
      <c r="F2" s="4">
        <v>5.96E-2</v>
      </c>
      <c r="G2" s="4">
        <v>1.4977</v>
      </c>
      <c r="H2" s="4">
        <v>1.3798999999999999</v>
      </c>
      <c r="I2" s="4">
        <v>1.4214</v>
      </c>
    </row>
    <row r="3" spans="1:9" x14ac:dyDescent="0.25">
      <c r="A3" s="1" t="s">
        <v>3</v>
      </c>
      <c r="B3" s="4">
        <v>129</v>
      </c>
      <c r="C3" s="4">
        <v>145</v>
      </c>
      <c r="E3" s="1" t="s">
        <v>3</v>
      </c>
      <c r="F3" s="4">
        <v>136</v>
      </c>
      <c r="G3" s="4">
        <v>661</v>
      </c>
      <c r="H3" s="4">
        <v>427</v>
      </c>
      <c r="I3" s="4">
        <v>650</v>
      </c>
    </row>
    <row r="4" spans="1:9" x14ac:dyDescent="0.25">
      <c r="A4" s="1" t="s">
        <v>4</v>
      </c>
      <c r="B4">
        <f>B2-$B$2</f>
        <v>0</v>
      </c>
      <c r="C4">
        <f>C2-$B$2</f>
        <v>0.79420000000000002</v>
      </c>
      <c r="E4" s="1" t="s">
        <v>4</v>
      </c>
      <c r="F4">
        <f>F2-$F$2</f>
        <v>0</v>
      </c>
      <c r="G4">
        <f>G2-$F$2</f>
        <v>1.4380999999999999</v>
      </c>
      <c r="H4">
        <f t="shared" ref="H4:I4" si="0">H2-$F$2</f>
        <v>1.3202999999999998</v>
      </c>
      <c r="I4">
        <f t="shared" si="0"/>
        <v>1.3617999999999999</v>
      </c>
    </row>
    <row r="5" spans="1:9" x14ac:dyDescent="0.25">
      <c r="A5" s="1" t="s">
        <v>5</v>
      </c>
      <c r="B5">
        <f>B3-$B$3</f>
        <v>0</v>
      </c>
      <c r="C5">
        <f>C3-$B$3</f>
        <v>16</v>
      </c>
      <c r="E5" s="1" t="s">
        <v>5</v>
      </c>
      <c r="F5">
        <f>F3-$F$3</f>
        <v>0</v>
      </c>
      <c r="G5">
        <f>G3-$F$3</f>
        <v>525</v>
      </c>
      <c r="H5">
        <f t="shared" ref="H5:I5" si="1">H3-$F$3</f>
        <v>291</v>
      </c>
      <c r="I5">
        <f t="shared" si="1"/>
        <v>514</v>
      </c>
    </row>
    <row r="6" spans="1:9" x14ac:dyDescent="0.25">
      <c r="A6" s="1" t="s">
        <v>6</v>
      </c>
      <c r="B6" t="s">
        <v>7</v>
      </c>
      <c r="C6">
        <f>C5/C4</f>
        <v>20.146058927222363</v>
      </c>
      <c r="E6" s="1" t="s">
        <v>6</v>
      </c>
      <c r="F6" t="s">
        <v>7</v>
      </c>
      <c r="G6">
        <f>G5/G4</f>
        <v>365.0650163410055</v>
      </c>
      <c r="H6">
        <f t="shared" ref="H6:I6" si="2">H5/H4</f>
        <v>220.40445353328792</v>
      </c>
      <c r="I6">
        <f t="shared" si="2"/>
        <v>377.44162138346309</v>
      </c>
    </row>
    <row r="8" spans="1:9" x14ac:dyDescent="0.25">
      <c r="A8" s="2" t="s">
        <v>8</v>
      </c>
      <c r="B8" s="2" t="s">
        <v>1</v>
      </c>
      <c r="C8" s="2" t="s">
        <v>16</v>
      </c>
      <c r="E8" s="2" t="s">
        <v>8</v>
      </c>
      <c r="F8" s="2" t="s">
        <v>1</v>
      </c>
      <c r="G8" s="2" t="s">
        <v>17</v>
      </c>
      <c r="H8" s="2" t="s">
        <v>18</v>
      </c>
      <c r="I8" s="2" t="s">
        <v>19</v>
      </c>
    </row>
    <row r="9" spans="1:9" x14ac:dyDescent="0.25">
      <c r="A9" s="2" t="s">
        <v>2</v>
      </c>
      <c r="B9" s="4">
        <v>5.3699999999999998E-2</v>
      </c>
      <c r="C9" s="4">
        <v>0.95269999999999999</v>
      </c>
      <c r="E9" s="2" t="s">
        <v>2</v>
      </c>
      <c r="F9" s="4">
        <v>5.96E-2</v>
      </c>
      <c r="G9" s="4">
        <v>1.4582999999999999</v>
      </c>
      <c r="H9" s="4">
        <v>1.1274</v>
      </c>
      <c r="I9" s="4">
        <v>1.171</v>
      </c>
    </row>
    <row r="10" spans="1:9" x14ac:dyDescent="0.25">
      <c r="A10" s="2" t="s">
        <v>3</v>
      </c>
      <c r="B10">
        <v>129</v>
      </c>
      <c r="C10" s="4">
        <v>3773</v>
      </c>
      <c r="E10" s="2" t="s">
        <v>3</v>
      </c>
      <c r="F10" s="4">
        <v>136</v>
      </c>
      <c r="G10" s="4">
        <v>1380</v>
      </c>
      <c r="H10" s="4">
        <v>982</v>
      </c>
      <c r="I10" s="4">
        <v>1937</v>
      </c>
    </row>
    <row r="11" spans="1:9" x14ac:dyDescent="0.25">
      <c r="A11" s="2" t="s">
        <v>4</v>
      </c>
      <c r="B11">
        <f>B9-$B$9</f>
        <v>0</v>
      </c>
      <c r="C11">
        <f>C9-$B$9</f>
        <v>0.89900000000000002</v>
      </c>
      <c r="E11" s="2" t="s">
        <v>4</v>
      </c>
      <c r="F11">
        <f>F9-$F$9</f>
        <v>0</v>
      </c>
      <c r="G11">
        <f>G9-$F$9</f>
        <v>1.3986999999999998</v>
      </c>
      <c r="H11">
        <f t="shared" ref="H11:I11" si="3">H9-$F$9</f>
        <v>1.0677999999999999</v>
      </c>
      <c r="I11">
        <f t="shared" si="3"/>
        <v>1.1113999999999999</v>
      </c>
    </row>
    <row r="12" spans="1:9" x14ac:dyDescent="0.25">
      <c r="A12" s="2" t="s">
        <v>5</v>
      </c>
      <c r="B12">
        <f>B10-$B$10</f>
        <v>0</v>
      </c>
      <c r="C12">
        <f>C10-$B$10</f>
        <v>3644</v>
      </c>
      <c r="E12" s="2" t="s">
        <v>5</v>
      </c>
      <c r="F12">
        <f>F10-$F$10</f>
        <v>0</v>
      </c>
      <c r="G12">
        <f>G10-$F$10</f>
        <v>1244</v>
      </c>
      <c r="H12">
        <f t="shared" ref="H12:I12" si="4">H10-$F$10</f>
        <v>846</v>
      </c>
      <c r="I12">
        <f t="shared" si="4"/>
        <v>1801</v>
      </c>
    </row>
    <row r="13" spans="1:9" x14ac:dyDescent="0.25">
      <c r="A13" s="2" t="s">
        <v>6</v>
      </c>
      <c r="B13" t="s">
        <v>7</v>
      </c>
      <c r="C13">
        <f>C12/C11</f>
        <v>4053.392658509455</v>
      </c>
      <c r="E13" s="2" t="s">
        <v>6</v>
      </c>
      <c r="F13" t="s">
        <v>7</v>
      </c>
      <c r="G13">
        <f>G12/G11</f>
        <v>889.39729749052708</v>
      </c>
      <c r="H13">
        <f t="shared" ref="H13:I13" si="5">H12/H11</f>
        <v>792.28319910095536</v>
      </c>
      <c r="I13">
        <f t="shared" si="5"/>
        <v>1620.4786755443586</v>
      </c>
    </row>
    <row r="15" spans="1:9" x14ac:dyDescent="0.25">
      <c r="A15" t="s">
        <v>9</v>
      </c>
      <c r="C15" s="3">
        <f t="shared" ref="C15" si="6">C13/C6</f>
        <v>201.20027808676306</v>
      </c>
      <c r="E15" t="s">
        <v>9</v>
      </c>
      <c r="G15" s="3">
        <f t="shared" ref="G15:I15" si="7">G13/G6</f>
        <v>2.4362709590878611</v>
      </c>
      <c r="H15" s="3">
        <f t="shared" si="7"/>
        <v>3.5946787208693856</v>
      </c>
      <c r="I15" s="3">
        <f t="shared" si="7"/>
        <v>4.2933226855181079</v>
      </c>
    </row>
    <row r="17" spans="1:4" x14ac:dyDescent="0.25">
      <c r="A17" t="s">
        <v>11</v>
      </c>
    </row>
    <row r="18" spans="1:4" x14ac:dyDescent="0.25">
      <c r="B18" t="s">
        <v>14</v>
      </c>
      <c r="C18" t="s">
        <v>15</v>
      </c>
      <c r="D18" t="s">
        <v>13</v>
      </c>
    </row>
    <row r="19" spans="1:4" x14ac:dyDescent="0.25">
      <c r="A19" t="s">
        <v>16</v>
      </c>
      <c r="B19">
        <f>C6</f>
        <v>20.146058927222363</v>
      </c>
      <c r="C19">
        <f>C13</f>
        <v>4053.392658509455</v>
      </c>
      <c r="D19">
        <f>C15</f>
        <v>201.20027808676306</v>
      </c>
    </row>
    <row r="20" spans="1:4" x14ac:dyDescent="0.25">
      <c r="A20" t="s">
        <v>20</v>
      </c>
      <c r="B20">
        <f>AVERAGE(G6:I6)</f>
        <v>320.97036375258546</v>
      </c>
      <c r="C20">
        <f>AVERAGE(G13:I13)</f>
        <v>1100.7197240452804</v>
      </c>
      <c r="D20">
        <f>AVERAGE(G15:I15)</f>
        <v>3.4414241218251185</v>
      </c>
    </row>
    <row r="21" spans="1:4" x14ac:dyDescent="0.25">
      <c r="A21" t="s">
        <v>32</v>
      </c>
      <c r="B21" t="s">
        <v>14</v>
      </c>
      <c r="C21" t="s">
        <v>15</v>
      </c>
      <c r="D21" t="s">
        <v>13</v>
      </c>
    </row>
    <row r="22" spans="1:4" x14ac:dyDescent="0.25">
      <c r="A22" t="s">
        <v>16</v>
      </c>
      <c r="B22">
        <v>0</v>
      </c>
      <c r="C22">
        <v>0</v>
      </c>
      <c r="D22">
        <v>0</v>
      </c>
    </row>
    <row r="23" spans="1:4" x14ac:dyDescent="0.25">
      <c r="A23" t="s">
        <v>29</v>
      </c>
      <c r="B23">
        <f>STDEV(F6:I6)</f>
        <v>87.312208835712909</v>
      </c>
      <c r="C23">
        <f>STDEV(F13:I13)</f>
        <v>452.73591946527807</v>
      </c>
      <c r="D23">
        <f>STDEV(G15:I15)</f>
        <v>0.93796348956425457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1E50-3A0A-4648-99C7-D4D12980EF93}">
  <dimension ref="A1:O23"/>
  <sheetViews>
    <sheetView zoomScale="85" zoomScaleNormal="85" workbookViewId="0">
      <selection activeCell="O34" sqref="O34"/>
    </sheetView>
  </sheetViews>
  <sheetFormatPr defaultRowHeight="15" x14ac:dyDescent="0.25"/>
  <cols>
    <col min="1" max="1" width="16.140625" customWidth="1"/>
    <col min="3" max="3" width="14.42578125" customWidth="1"/>
    <col min="4" max="4" width="14" customWidth="1"/>
  </cols>
  <sheetData>
    <row r="1" spans="1:15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H1" s="1" t="s">
        <v>0</v>
      </c>
      <c r="I1" s="1" t="s">
        <v>1</v>
      </c>
      <c r="J1" s="1" t="s">
        <v>26</v>
      </c>
      <c r="L1" s="1" t="s">
        <v>0</v>
      </c>
      <c r="M1" s="1" t="s">
        <v>1</v>
      </c>
      <c r="N1" s="1" t="s">
        <v>27</v>
      </c>
      <c r="O1" s="1" t="s">
        <v>28</v>
      </c>
    </row>
    <row r="2" spans="1:15" x14ac:dyDescent="0.25">
      <c r="A2" s="1" t="s">
        <v>2</v>
      </c>
      <c r="B2" s="4">
        <v>5.0200000000000002E-2</v>
      </c>
      <c r="C2" s="4">
        <v>1.004</v>
      </c>
      <c r="D2" s="4">
        <v>1.0804</v>
      </c>
      <c r="E2" s="4">
        <v>1.0444</v>
      </c>
      <c r="F2" s="4">
        <v>1.1468</v>
      </c>
      <c r="H2" s="1" t="s">
        <v>2</v>
      </c>
      <c r="I2" s="4">
        <v>5.0500000000000003E-2</v>
      </c>
      <c r="J2" s="4">
        <v>1.1802999999999999</v>
      </c>
      <c r="L2" s="1" t="s">
        <v>2</v>
      </c>
      <c r="M2" s="4">
        <v>5.8299999999999998E-2</v>
      </c>
      <c r="N2" s="4">
        <v>1.1331</v>
      </c>
      <c r="O2" s="4">
        <v>1.1278999999999999</v>
      </c>
    </row>
    <row r="3" spans="1:15" x14ac:dyDescent="0.25">
      <c r="A3" s="1" t="s">
        <v>3</v>
      </c>
      <c r="B3" s="4">
        <v>82</v>
      </c>
      <c r="C3" s="4">
        <v>217</v>
      </c>
      <c r="D3" s="4">
        <v>247</v>
      </c>
      <c r="E3" s="4">
        <v>186</v>
      </c>
      <c r="F3" s="4">
        <v>209</v>
      </c>
      <c r="H3" s="1" t="s">
        <v>3</v>
      </c>
      <c r="I3" s="4">
        <v>109</v>
      </c>
      <c r="J3" s="4">
        <v>209</v>
      </c>
      <c r="L3" s="1" t="s">
        <v>3</v>
      </c>
      <c r="M3" s="4">
        <v>122</v>
      </c>
      <c r="N3" s="4">
        <v>232</v>
      </c>
      <c r="O3" s="4">
        <v>235</v>
      </c>
    </row>
    <row r="4" spans="1:15" x14ac:dyDescent="0.25">
      <c r="A4" s="1" t="s">
        <v>4</v>
      </c>
      <c r="B4">
        <f>B2-$B$2</f>
        <v>0</v>
      </c>
      <c r="C4">
        <f>C2-$B$2</f>
        <v>0.95379999999999998</v>
      </c>
      <c r="D4">
        <f t="shared" ref="D4:F4" si="0">D2-$B$2</f>
        <v>1.0302</v>
      </c>
      <c r="E4">
        <f t="shared" si="0"/>
        <v>0.99419999999999997</v>
      </c>
      <c r="F4">
        <f t="shared" si="0"/>
        <v>1.0966</v>
      </c>
      <c r="H4" s="1" t="s">
        <v>4</v>
      </c>
      <c r="I4">
        <f>I2-$I$2</f>
        <v>0</v>
      </c>
      <c r="J4">
        <f>J2-$I$2</f>
        <v>1.1297999999999999</v>
      </c>
      <c r="L4" s="1" t="s">
        <v>4</v>
      </c>
      <c r="M4">
        <f>M2-$M$2</f>
        <v>0</v>
      </c>
      <c r="N4">
        <f>N2-$M$2</f>
        <v>1.0748</v>
      </c>
      <c r="O4">
        <f>O2-$M$2</f>
        <v>1.0695999999999999</v>
      </c>
    </row>
    <row r="5" spans="1:15" x14ac:dyDescent="0.25">
      <c r="A5" s="1" t="s">
        <v>5</v>
      </c>
      <c r="B5">
        <f>B3-$B$3</f>
        <v>0</v>
      </c>
      <c r="C5">
        <f>C3-$B$3</f>
        <v>135</v>
      </c>
      <c r="D5">
        <f t="shared" ref="D5:F5" si="1">D3-$B$3</f>
        <v>165</v>
      </c>
      <c r="E5">
        <f t="shared" si="1"/>
        <v>104</v>
      </c>
      <c r="F5">
        <f t="shared" si="1"/>
        <v>127</v>
      </c>
      <c r="H5" s="1" t="s">
        <v>5</v>
      </c>
      <c r="I5">
        <f>I3-$I$3</f>
        <v>0</v>
      </c>
      <c r="J5">
        <f>J3-$I$3</f>
        <v>100</v>
      </c>
      <c r="L5" s="1" t="s">
        <v>5</v>
      </c>
      <c r="M5">
        <f>M3-$M$3</f>
        <v>0</v>
      </c>
      <c r="N5">
        <f>N3-$M$3</f>
        <v>110</v>
      </c>
      <c r="O5">
        <f>O3-$M$3</f>
        <v>113</v>
      </c>
    </row>
    <row r="6" spans="1:15" x14ac:dyDescent="0.25">
      <c r="A6" s="1" t="s">
        <v>6</v>
      </c>
      <c r="B6" t="s">
        <v>7</v>
      </c>
      <c r="C6">
        <f>C5/C4</f>
        <v>141.53910673097084</v>
      </c>
      <c r="D6">
        <f t="shared" ref="D6:F6" si="2">D5/D4</f>
        <v>160.16307513104252</v>
      </c>
      <c r="E6">
        <f t="shared" si="2"/>
        <v>104.60671897002615</v>
      </c>
      <c r="F6">
        <f t="shared" si="2"/>
        <v>115.81251139886923</v>
      </c>
      <c r="H6" s="1" t="s">
        <v>6</v>
      </c>
      <c r="I6" t="s">
        <v>7</v>
      </c>
      <c r="J6">
        <f>J5/J4</f>
        <v>88.511240927597811</v>
      </c>
      <c r="L6" s="1" t="s">
        <v>6</v>
      </c>
      <c r="M6" t="s">
        <v>7</v>
      </c>
      <c r="N6">
        <f t="shared" ref="N6:O6" si="3">N5/N4</f>
        <v>102.34462225530332</v>
      </c>
      <c r="O6">
        <f t="shared" si="3"/>
        <v>105.64697083021692</v>
      </c>
    </row>
    <row r="8" spans="1:15" x14ac:dyDescent="0.25">
      <c r="A8" s="2" t="s">
        <v>8</v>
      </c>
      <c r="B8" s="2" t="s">
        <v>1</v>
      </c>
      <c r="C8" s="2" t="s">
        <v>22</v>
      </c>
      <c r="D8" s="2" t="s">
        <v>23</v>
      </c>
      <c r="E8" s="2" t="s">
        <v>24</v>
      </c>
      <c r="F8" s="2" t="s">
        <v>25</v>
      </c>
      <c r="H8" s="2" t="s">
        <v>8</v>
      </c>
      <c r="I8" s="2" t="s">
        <v>1</v>
      </c>
      <c r="J8" s="2" t="s">
        <v>26</v>
      </c>
      <c r="L8" s="2" t="s">
        <v>8</v>
      </c>
      <c r="M8" s="2" t="s">
        <v>1</v>
      </c>
      <c r="N8" s="2" t="s">
        <v>27</v>
      </c>
      <c r="O8" s="2" t="s">
        <v>28</v>
      </c>
    </row>
    <row r="9" spans="1:15" x14ac:dyDescent="0.25">
      <c r="A9" s="2" t="s">
        <v>2</v>
      </c>
      <c r="B9" s="4">
        <v>5.0200000000000002E-2</v>
      </c>
      <c r="C9" s="4">
        <v>1.1533</v>
      </c>
      <c r="D9" s="4">
        <v>1.1876</v>
      </c>
      <c r="E9" s="4">
        <v>1.1516</v>
      </c>
      <c r="F9" s="4">
        <v>1.2218</v>
      </c>
      <c r="H9" s="2" t="s">
        <v>2</v>
      </c>
      <c r="I9" s="4">
        <v>5.0500000000000003E-2</v>
      </c>
      <c r="J9" s="4">
        <v>1.2109000000000001</v>
      </c>
      <c r="L9" s="2" t="s">
        <v>2</v>
      </c>
      <c r="M9" s="4">
        <v>5.8299999999999998E-2</v>
      </c>
      <c r="N9" s="4">
        <v>1.145</v>
      </c>
      <c r="O9" s="4">
        <v>1.1702999999999999</v>
      </c>
    </row>
    <row r="10" spans="1:15" x14ac:dyDescent="0.25">
      <c r="A10" s="2" t="s">
        <v>3</v>
      </c>
      <c r="B10" s="4">
        <v>82</v>
      </c>
      <c r="C10" s="4">
        <v>7764</v>
      </c>
      <c r="D10" s="4">
        <v>11751</v>
      </c>
      <c r="E10" s="4">
        <v>9286</v>
      </c>
      <c r="F10" s="4">
        <v>8170</v>
      </c>
      <c r="H10" s="2" t="s">
        <v>3</v>
      </c>
      <c r="I10" s="4">
        <v>109</v>
      </c>
      <c r="J10" s="4">
        <v>5225</v>
      </c>
      <c r="L10" s="2" t="s">
        <v>3</v>
      </c>
      <c r="M10" s="4">
        <v>122</v>
      </c>
      <c r="N10" s="4">
        <v>5707</v>
      </c>
      <c r="O10" s="4">
        <v>5303</v>
      </c>
    </row>
    <row r="11" spans="1:15" x14ac:dyDescent="0.25">
      <c r="A11" s="2" t="s">
        <v>4</v>
      </c>
      <c r="B11">
        <f>B9-$B$9</f>
        <v>0</v>
      </c>
      <c r="C11">
        <f>C9-$B$9</f>
        <v>1.1031</v>
      </c>
      <c r="D11">
        <f t="shared" ref="D11:F11" si="4">D9-$B$9</f>
        <v>1.1374</v>
      </c>
      <c r="E11">
        <f t="shared" si="4"/>
        <v>1.1013999999999999</v>
      </c>
      <c r="F11">
        <f t="shared" si="4"/>
        <v>1.1716</v>
      </c>
      <c r="H11" s="2" t="s">
        <v>4</v>
      </c>
      <c r="I11">
        <f>I9-$I$9</f>
        <v>0</v>
      </c>
      <c r="J11">
        <f>J9-$I$9</f>
        <v>1.1604000000000001</v>
      </c>
      <c r="L11" s="2" t="s">
        <v>4</v>
      </c>
      <c r="M11">
        <f>M9-$M$9</f>
        <v>0</v>
      </c>
      <c r="N11">
        <f>N9-$M$9</f>
        <v>1.0867</v>
      </c>
      <c r="O11">
        <f>O9-$M$9</f>
        <v>1.1119999999999999</v>
      </c>
    </row>
    <row r="12" spans="1:15" x14ac:dyDescent="0.25">
      <c r="A12" s="2" t="s">
        <v>5</v>
      </c>
      <c r="B12">
        <f>B10-$B$10</f>
        <v>0</v>
      </c>
      <c r="C12">
        <f>C10-$B$10</f>
        <v>7682</v>
      </c>
      <c r="D12">
        <f t="shared" ref="D12:F12" si="5">D10-$B$10</f>
        <v>11669</v>
      </c>
      <c r="E12">
        <f t="shared" si="5"/>
        <v>9204</v>
      </c>
      <c r="F12">
        <f t="shared" si="5"/>
        <v>8088</v>
      </c>
      <c r="H12" s="2" t="s">
        <v>5</v>
      </c>
      <c r="I12">
        <f>I10-$I$10</f>
        <v>0</v>
      </c>
      <c r="J12">
        <f>J10-$I$10</f>
        <v>5116</v>
      </c>
      <c r="L12" s="2" t="s">
        <v>5</v>
      </c>
      <c r="M12">
        <f>M10-$M$10</f>
        <v>0</v>
      </c>
      <c r="N12">
        <f>N10-$M$10</f>
        <v>5585</v>
      </c>
      <c r="O12">
        <f>O10-$M$10</f>
        <v>5181</v>
      </c>
    </row>
    <row r="13" spans="1:15" x14ac:dyDescent="0.25">
      <c r="A13" s="2" t="s">
        <v>6</v>
      </c>
      <c r="B13" t="s">
        <v>7</v>
      </c>
      <c r="C13">
        <f>C12/C11</f>
        <v>6964.0105158190554</v>
      </c>
      <c r="D13">
        <f t="shared" ref="D13:F13" si="6">D12/D11</f>
        <v>10259.363460524002</v>
      </c>
      <c r="E13">
        <f t="shared" si="6"/>
        <v>8356.6370074450697</v>
      </c>
      <c r="F13">
        <f t="shared" si="6"/>
        <v>6903.3799931717313</v>
      </c>
      <c r="H13" s="2" t="s">
        <v>6</v>
      </c>
      <c r="I13" t="s">
        <v>7</v>
      </c>
      <c r="J13">
        <f>J12/J11</f>
        <v>4408.8245432609438</v>
      </c>
      <c r="L13" s="2" t="s">
        <v>6</v>
      </c>
      <c r="M13" t="s">
        <v>7</v>
      </c>
      <c r="N13">
        <f t="shared" ref="N13:O13" si="7">N12/N11</f>
        <v>5139.4129014447408</v>
      </c>
      <c r="O13">
        <f t="shared" si="7"/>
        <v>4659.1726618705043</v>
      </c>
    </row>
    <row r="15" spans="1:15" x14ac:dyDescent="0.25">
      <c r="A15" t="s">
        <v>9</v>
      </c>
      <c r="C15" s="3">
        <f t="shared" ref="C15:F15" si="8">C13/C6</f>
        <v>49.202023925838631</v>
      </c>
      <c r="D15" s="3">
        <f t="shared" si="8"/>
        <v>64.055734769889867</v>
      </c>
      <c r="E15" s="3">
        <f t="shared" si="8"/>
        <v>79.886235700018162</v>
      </c>
      <c r="F15" s="3">
        <f t="shared" si="8"/>
        <v>59.608240161512761</v>
      </c>
      <c r="H15" t="s">
        <v>9</v>
      </c>
      <c r="J15" s="3">
        <f t="shared" ref="J15" si="9">J13/J6</f>
        <v>49.810899689762138</v>
      </c>
      <c r="L15" t="s">
        <v>9</v>
      </c>
      <c r="N15" s="3">
        <f>N13/N6</f>
        <v>50.216736240661881</v>
      </c>
      <c r="O15" s="3">
        <f>O13/O6</f>
        <v>44.101336983510535</v>
      </c>
    </row>
    <row r="17" spans="1:4" x14ac:dyDescent="0.25">
      <c r="A17" t="s">
        <v>11</v>
      </c>
    </row>
    <row r="18" spans="1:4" x14ac:dyDescent="0.25">
      <c r="A18" t="s">
        <v>31</v>
      </c>
      <c r="B18" t="s">
        <v>14</v>
      </c>
      <c r="C18" t="s">
        <v>15</v>
      </c>
      <c r="D18" t="s">
        <v>13</v>
      </c>
    </row>
    <row r="19" spans="1:4" x14ac:dyDescent="0.25">
      <c r="A19" t="s">
        <v>29</v>
      </c>
      <c r="B19">
        <f>AVERAGE(C6:F6)</f>
        <v>130.53035305772718</v>
      </c>
      <c r="C19">
        <f>AVERAGE(C13:F13)</f>
        <v>8120.8477442399635</v>
      </c>
      <c r="D19">
        <f>AVERAGE(C15:F15)</f>
        <v>63.188058639314853</v>
      </c>
    </row>
    <row r="20" spans="1:4" x14ac:dyDescent="0.25">
      <c r="A20" t="s">
        <v>30</v>
      </c>
      <c r="B20">
        <f>AVERAGE(J6,N6:O6)</f>
        <v>98.834278004372678</v>
      </c>
      <c r="C20">
        <f>AVERAGE(I13,N13:P13)</f>
        <v>4899.292781657623</v>
      </c>
      <c r="D20">
        <f>AVERAGE(J15,N15:O15)</f>
        <v>48.042990971311518</v>
      </c>
    </row>
    <row r="21" spans="1:4" x14ac:dyDescent="0.25">
      <c r="A21" t="s">
        <v>32</v>
      </c>
      <c r="B21" t="s">
        <v>14</v>
      </c>
      <c r="C21" t="s">
        <v>15</v>
      </c>
      <c r="D21" t="s">
        <v>13</v>
      </c>
    </row>
    <row r="22" spans="1:4" x14ac:dyDescent="0.25">
      <c r="A22" t="s">
        <v>29</v>
      </c>
      <c r="B22">
        <f>STDEV(C6:F6)</f>
        <v>25.086121942359121</v>
      </c>
      <c r="C22">
        <f>STDEV(C13:F13)</f>
        <v>1575.7903988568637</v>
      </c>
      <c r="D22">
        <f>STDEV(C15:F15)</f>
        <v>12.754165938478584</v>
      </c>
    </row>
    <row r="23" spans="1:4" x14ac:dyDescent="0.25">
      <c r="A23" t="s">
        <v>30</v>
      </c>
      <c r="B23">
        <f>STDEV(J6,N6:O6)</f>
        <v>9.0912153969593081</v>
      </c>
      <c r="C23">
        <f>STDEV(I13,N13:P13)</f>
        <v>339.58113000159483</v>
      </c>
      <c r="D23">
        <f>STDEV(J15,N15:O15)</f>
        <v>3.4195983603593119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pKS-02-004,6</vt:lpstr>
      <vt:lpstr>pKS-02-014</vt:lpstr>
      <vt:lpstr>pKS-02-016,18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Sechkar</dc:creator>
  <cp:lastModifiedBy>Kirill Sechkar</cp:lastModifiedBy>
  <dcterms:created xsi:type="dcterms:W3CDTF">2015-06-05T18:17:20Z</dcterms:created>
  <dcterms:modified xsi:type="dcterms:W3CDTF">2026-04-07T16:44:48Z</dcterms:modified>
</cp:coreProperties>
</file>